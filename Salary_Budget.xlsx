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4de9bb22ebc50/Desktop/kun faya kun/"/>
    </mc:Choice>
  </mc:AlternateContent>
  <xr:revisionPtr revIDLastSave="34" documentId="13_ncr:1_{D386DD52-321D-4B14-BD46-4C14D4CA2FAA}" xr6:coauthVersionLast="47" xr6:coauthVersionMax="47" xr10:uidLastSave="{54470D55-63E5-4717-963A-7A9287A8964A}"/>
  <bookViews>
    <workbookView xWindow="-110" yWindow="-110" windowWidth="19420" windowHeight="10300" firstSheet="1" activeTab="1" xr2:uid="{26AC460E-D17E-4C25-B5B6-57D0D7747B91}"/>
  </bookViews>
  <sheets>
    <sheet name="JULY_Mainsheet" sheetId="1" r:id="rId1"/>
    <sheet name="AUGUST_category" sheetId="6" r:id="rId2"/>
    <sheet name="AUGUST_Mainsheet" sheetId="5" r:id="rId3"/>
    <sheet name="JULY_category" sheetId="4" r:id="rId4"/>
    <sheet name="JULY_account" sheetId="3" r:id="rId5"/>
    <sheet name="Sheet2" sheetId="2" r:id="rId6"/>
  </sheets>
  <calcPr calcId="191029"/>
  <pivotCaches>
    <pivotCache cacheId="0" r:id="rId7"/>
    <pivotCache cacheId="1" r:id="rId8"/>
    <pivotCache cacheId="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C2" i="5" s="1"/>
  <c r="D3" i="5" s="1"/>
  <c r="C3" i="5" s="1"/>
  <c r="D4" i="5" s="1"/>
  <c r="C4" i="5" s="1"/>
  <c r="D5" i="5" s="1"/>
  <c r="C5" i="5" s="1"/>
  <c r="D6" i="5" s="1"/>
  <c r="C6" i="5" s="1"/>
  <c r="D7" i="5" s="1"/>
  <c r="C7" i="5" s="1"/>
  <c r="D11" i="1"/>
  <c r="C11" i="1"/>
  <c r="D10" i="1"/>
  <c r="C10" i="1"/>
  <c r="D9" i="1"/>
  <c r="C9" i="1"/>
  <c r="D8" i="1"/>
  <c r="C8" i="1"/>
  <c r="D7" i="1"/>
  <c r="C7" i="1" s="1"/>
  <c r="D6" i="1"/>
  <c r="C6" i="1"/>
  <c r="D5" i="1"/>
  <c r="C5" i="1"/>
  <c r="C2" i="1"/>
  <c r="D3" i="1"/>
  <c r="C3" i="1" s="1"/>
  <c r="D4" i="1" s="1"/>
  <c r="C4" i="1" s="1"/>
  <c r="B2" i="1"/>
</calcChain>
</file>

<file path=xl/sharedStrings.xml><?xml version="1.0" encoding="utf-8"?>
<sst xmlns="http://schemas.openxmlformats.org/spreadsheetml/2006/main" count="111" uniqueCount="31">
  <si>
    <t xml:space="preserve">Expense name </t>
  </si>
  <si>
    <t>Cost</t>
  </si>
  <si>
    <t>Balance</t>
  </si>
  <si>
    <t>Total</t>
  </si>
  <si>
    <t>Daily expense per month</t>
  </si>
  <si>
    <t>SIP</t>
  </si>
  <si>
    <t>Experience and outing</t>
  </si>
  <si>
    <t>Emergency  Fund</t>
  </si>
  <si>
    <t>Mom dad gifts</t>
  </si>
  <si>
    <t>Philips trimmer</t>
  </si>
  <si>
    <t xml:space="preserve">Relatives gifts </t>
  </si>
  <si>
    <t>Eye protection spectacles</t>
  </si>
  <si>
    <t>Account</t>
  </si>
  <si>
    <t>ICICI salary account</t>
  </si>
  <si>
    <t>SBI joint account</t>
  </si>
  <si>
    <t>Mother's account</t>
  </si>
  <si>
    <t>Row Labels</t>
  </si>
  <si>
    <t>Grand Total</t>
  </si>
  <si>
    <t>Sum of Cost</t>
  </si>
  <si>
    <t>Family</t>
  </si>
  <si>
    <t>Buffer (  Mom)</t>
  </si>
  <si>
    <t>Buffer ( Me)</t>
  </si>
  <si>
    <t>Category</t>
  </si>
  <si>
    <t>Essentials</t>
  </si>
  <si>
    <t>Lifestyle</t>
  </si>
  <si>
    <t>Investment and savings</t>
  </si>
  <si>
    <t xml:space="preserve"> Charity</t>
  </si>
  <si>
    <t>(blank)</t>
  </si>
  <si>
    <t>family</t>
  </si>
  <si>
    <t>ticket railway</t>
  </si>
  <si>
    <t>haircut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</si>
</sst>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0" borderId="0" xfId="0" applyNumberForma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into" refreshedDate="46229.882027083331" createdVersion="8" refreshedVersion="8" minRefreshableVersion="3" recordCount="12" xr:uid="{4C6FA459-4761-4F4E-8C15-69B64CD4A16D}">
  <cacheSource type="worksheet">
    <worksheetSource name="Table2"/>
  </cacheSource>
  <cacheFields count="6">
    <cacheField name="Expense name " numFmtId="0">
      <sharedItems containsBlank="1" count="16">
        <s v="Daily expense per month"/>
        <s v="SIP"/>
        <s v="Experience and outing"/>
        <s v="Emergency  Fund"/>
        <s v="Buffer (  Mom)"/>
        <s v="Buffer ( Me)"/>
        <s v="Mom dad gifts"/>
        <s v=" Charity"/>
        <s v="Philips trimmer"/>
        <s v="Relatives gifts "/>
        <s v="Eye protection spectacles"/>
        <s v="Family"/>
        <s v="Church donation" u="1"/>
        <s v="Buffer ( with Mom)" u="1"/>
        <s v="Buffer ( with Me)" u="1"/>
        <m u="1"/>
      </sharedItems>
    </cacheField>
    <cacheField name="Cost" numFmtId="0">
      <sharedItems containsSemiMixedTypes="0" containsString="0" containsNumber="1" containsInteger="1" minValue="500" maxValue="10150"/>
    </cacheField>
    <cacheField name="Balance" numFmtId="0">
      <sharedItems containsSemiMixedTypes="0" containsString="0" containsNumber="1" containsInteger="1" minValue="0" maxValue="28500"/>
    </cacheField>
    <cacheField name="Total" numFmtId="0">
      <sharedItems containsSemiMixedTypes="0" containsString="0" containsNumber="1" containsInteger="1" minValue="10150" maxValue="30000"/>
    </cacheField>
    <cacheField name="Account" numFmtId="0">
      <sharedItems containsBlank="1" count="4">
        <s v="ICICI salary account"/>
        <s v="SBI joint account"/>
        <s v="Mother's account" u="1"/>
        <m u="1"/>
      </sharedItems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into" refreshedDate="46233.918263425927" createdVersion="8" refreshedVersion="8" minRefreshableVersion="3" recordCount="12" xr:uid="{C7940301-5125-45E3-A9F7-C60E20464CD2}">
  <cacheSource type="worksheet">
    <worksheetSource ref="A1:G13" sheet="JULY_Mainsheet"/>
  </cacheSource>
  <cacheFields count="7">
    <cacheField name="Expense name " numFmtId="0">
      <sharedItems containsBlank="1" count="14">
        <s v="Daily expense per month"/>
        <s v="SIP"/>
        <s v="Experience and outing"/>
        <s v="Buffer (  Mom)"/>
        <s v="Buffer ( Me)"/>
        <s v="Mom dad gifts"/>
        <s v=" Charity"/>
        <s v="Philips trimmer"/>
        <s v="Eye protection spectacles"/>
        <s v="Family"/>
        <m/>
        <s v="Emergency  Fund" u="1"/>
        <s v="Relatives gifts " u="1"/>
        <s v="Church donation" u="1"/>
      </sharedItems>
    </cacheField>
    <cacheField name="Cost" numFmtId="0">
      <sharedItems containsString="0" containsBlank="1" containsNumber="1" containsInteger="1" minValue="500" maxValue="10150"/>
    </cacheField>
    <cacheField name="Balance" numFmtId="0">
      <sharedItems containsString="0" containsBlank="1" containsNumber="1" containsInteger="1" minValue="5400" maxValue="28500"/>
    </cacheField>
    <cacheField name="Total" numFmtId="0">
      <sharedItems containsString="0" containsBlank="1" containsNumber="1" containsInteger="1" minValue="15550" maxValue="30000"/>
    </cacheField>
    <cacheField name="Account" numFmtId="0">
      <sharedItems containsBlank="1"/>
    </cacheField>
    <cacheField name="Category" numFmtId="0">
      <sharedItems containsBlank="1" count="5">
        <s v="Essentials"/>
        <s v="Investment and savings"/>
        <s v="Lifestyle"/>
        <s v="Family"/>
        <m/>
      </sharedItems>
    </cacheField>
    <cacheField name="Field7" caption="Field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into" refreshedDate="46264.482661111113" createdVersion="8" refreshedVersion="8" minRefreshableVersion="3" recordCount="12" xr:uid="{5986DBAC-8E40-40A3-8C66-331A10484BFA}">
  <cacheSource type="worksheet">
    <worksheetSource name="Table22"/>
  </cacheSource>
  <cacheFields count="6">
    <cacheField name="Expense name " numFmtId="0">
      <sharedItems containsBlank="1"/>
    </cacheField>
    <cacheField name="Cost" numFmtId="0">
      <sharedItems containsString="0" containsBlank="1" containsNumber="1" containsInteger="1" minValue="250" maxValue="25000"/>
    </cacheField>
    <cacheField name="Balance" numFmtId="0">
      <sharedItems containsString="0" containsBlank="1" containsNumber="1" containsInteger="1" minValue="2947" maxValue="31782"/>
    </cacheField>
    <cacheField name="Total" numFmtId="0">
      <sharedItems containsString="0" containsBlank="1" containsNumber="1" containsInteger="1" minValue="4447" maxValue="33282"/>
    </cacheField>
    <cacheField name="Account" numFmtId="0">
      <sharedItems containsBlank="1"/>
    </cacheField>
    <cacheField name="Category" numFmtId="0">
      <sharedItems containsBlank="1" count="5">
        <s v="Essentials"/>
        <s v="Investment and savings"/>
        <s v="Family"/>
        <s v="Lifestyl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500"/>
    <n v="28500"/>
    <n v="30000"/>
    <x v="0"/>
    <s v="Essentials"/>
  </r>
  <r>
    <x v="1"/>
    <n v="2700"/>
    <n v="25800"/>
    <n v="28500"/>
    <x v="0"/>
    <s v="Investment and savings"/>
  </r>
  <r>
    <x v="2"/>
    <n v="2000"/>
    <n v="23800"/>
    <n v="25800"/>
    <x v="0"/>
    <s v="Lifestyle"/>
  </r>
  <r>
    <x v="3"/>
    <n v="2700"/>
    <n v="21100"/>
    <n v="23800"/>
    <x v="1"/>
    <s v="Investment and savings"/>
  </r>
  <r>
    <x v="4"/>
    <n v="2000"/>
    <n v="19100"/>
    <n v="21100"/>
    <x v="1"/>
    <s v="Investment and savings"/>
  </r>
  <r>
    <x v="5"/>
    <n v="2000"/>
    <n v="17100"/>
    <n v="19100"/>
    <x v="1"/>
    <s v="Investment and savings"/>
  </r>
  <r>
    <x v="6"/>
    <n v="2000"/>
    <n v="15100"/>
    <n v="17100"/>
    <x v="0"/>
    <s v="Lifestyle"/>
  </r>
  <r>
    <x v="7"/>
    <n v="1000"/>
    <n v="14100"/>
    <n v="15100"/>
    <x v="1"/>
    <s v="Essentials"/>
  </r>
  <r>
    <x v="8"/>
    <n v="750"/>
    <n v="13350"/>
    <n v="14100"/>
    <x v="0"/>
    <s v="Lifestyle"/>
  </r>
  <r>
    <x v="9"/>
    <n v="2700"/>
    <n v="10650"/>
    <n v="13350"/>
    <x v="1"/>
    <s v="Lifestyle"/>
  </r>
  <r>
    <x v="10"/>
    <n v="500"/>
    <n v="10150"/>
    <n v="10650"/>
    <x v="0"/>
    <s v="Lifestyle"/>
  </r>
  <r>
    <x v="11"/>
    <n v="10150"/>
    <n v="0"/>
    <n v="10150"/>
    <x v="1"/>
    <s v="Famil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500"/>
    <n v="28500"/>
    <n v="30000"/>
    <s v="ICICI salary account"/>
    <x v="0"/>
    <m/>
  </r>
  <r>
    <x v="1"/>
    <n v="2700"/>
    <n v="25800"/>
    <n v="28500"/>
    <s v="ICICI salary account"/>
    <x v="1"/>
    <m/>
  </r>
  <r>
    <x v="2"/>
    <n v="2000"/>
    <n v="23800"/>
    <n v="25800"/>
    <s v="ICICI salary account"/>
    <x v="2"/>
    <m/>
  </r>
  <r>
    <x v="3"/>
    <n v="2000"/>
    <n v="21800"/>
    <n v="23800"/>
    <s v="SBI joint account"/>
    <x v="1"/>
    <m/>
  </r>
  <r>
    <x v="4"/>
    <n v="2000"/>
    <n v="19800"/>
    <n v="21800"/>
    <s v="SBI joint account"/>
    <x v="1"/>
    <m/>
  </r>
  <r>
    <x v="5"/>
    <n v="2000"/>
    <n v="17800"/>
    <n v="19800"/>
    <s v="ICICI salary account"/>
    <x v="2"/>
    <m/>
  </r>
  <r>
    <x v="6"/>
    <n v="1000"/>
    <n v="16800"/>
    <n v="17800"/>
    <s v="SBI joint account"/>
    <x v="0"/>
    <m/>
  </r>
  <r>
    <x v="7"/>
    <n v="750"/>
    <n v="16050"/>
    <n v="16800"/>
    <s v="ICICI salary account"/>
    <x v="2"/>
    <m/>
  </r>
  <r>
    <x v="8"/>
    <n v="500"/>
    <n v="15550"/>
    <n v="16050"/>
    <s v="ICICI salary account"/>
    <x v="2"/>
    <m/>
  </r>
  <r>
    <x v="9"/>
    <n v="10150"/>
    <n v="5400"/>
    <n v="15550"/>
    <s v="SBI joint account"/>
    <x v="3"/>
    <m/>
  </r>
  <r>
    <x v="10"/>
    <m/>
    <m/>
    <m/>
    <m/>
    <x v="4"/>
    <m/>
  </r>
  <r>
    <x v="10"/>
    <m/>
    <m/>
    <m/>
    <m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Daily expense per month"/>
    <n v="1500"/>
    <n v="31782"/>
    <n v="33282"/>
    <s v="ICICI salary account"/>
    <x v="0"/>
  </r>
  <r>
    <s v="SIP"/>
    <n v="1800"/>
    <n v="29982"/>
    <n v="31782"/>
    <s v="ICICI salary account"/>
    <x v="1"/>
  </r>
  <r>
    <s v="family"/>
    <n v="25000"/>
    <n v="4982"/>
    <n v="29982"/>
    <s v="Mother's account"/>
    <x v="2"/>
  </r>
  <r>
    <s v="ticket railway"/>
    <n v="285"/>
    <n v="4697"/>
    <n v="4982"/>
    <s v="ICICI salary account"/>
    <x v="0"/>
  </r>
  <r>
    <s v="haircut"/>
    <n v="250"/>
    <n v="4447"/>
    <n v="4697"/>
    <s v="ICICI salary account"/>
    <x v="3"/>
  </r>
  <r>
    <s v="Daily expense per month"/>
    <n v="1500"/>
    <n v="2947"/>
    <n v="4447"/>
    <s v="ICICI salary account"/>
    <x v="3"/>
  </r>
  <r>
    <m/>
    <m/>
    <m/>
    <m/>
    <m/>
    <x v="4"/>
  </r>
  <r>
    <m/>
    <m/>
    <m/>
    <m/>
    <m/>
    <x v="4"/>
  </r>
  <r>
    <m/>
    <m/>
    <m/>
    <m/>
    <m/>
    <x v="4"/>
  </r>
  <r>
    <m/>
    <m/>
    <m/>
    <m/>
    <m/>
    <x v="4"/>
  </r>
  <r>
    <m/>
    <m/>
    <m/>
    <m/>
    <m/>
    <x v="4"/>
  </r>
  <r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DBC6B-A707-4C1F-A03A-6F654036CB7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showAll="0"/>
    <pivotField dataField="1"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F64F5-8833-4709-A4AC-B6275E02797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8" firstHeaderRow="1" firstDataRow="1" firstDataCol="1"/>
  <pivotFields count="7">
    <pivotField axis="axisRow" showAll="0">
      <items count="15">
        <item x="3"/>
        <item x="4"/>
        <item m="1" x="13"/>
        <item x="0"/>
        <item m="1" x="11"/>
        <item x="2"/>
        <item x="8"/>
        <item x="9"/>
        <item x="5"/>
        <item x="7"/>
        <item m="1" x="12"/>
        <item x="1"/>
        <item x="6"/>
        <item x="10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</pivotFields>
  <rowFields count="2">
    <field x="5"/>
    <field x="0"/>
  </rowFields>
  <rowItems count="17">
    <i>
      <x/>
    </i>
    <i r="1">
      <x v="3"/>
    </i>
    <i r="1">
      <x v="12"/>
    </i>
    <i>
      <x v="1"/>
    </i>
    <i r="1">
      <x v="7"/>
    </i>
    <i>
      <x v="2"/>
    </i>
    <i r="1">
      <x/>
    </i>
    <i r="1">
      <x v="1"/>
    </i>
    <i r="1">
      <x v="11"/>
    </i>
    <i>
      <x v="3"/>
    </i>
    <i r="1">
      <x v="5"/>
    </i>
    <i r="1">
      <x v="6"/>
    </i>
    <i r="1">
      <x v="8"/>
    </i>
    <i r="1">
      <x v="9"/>
    </i>
    <i>
      <x v="4"/>
    </i>
    <i r="1">
      <x v="13"/>
    </i>
    <i t="grand">
      <x/>
    </i>
  </rowItems>
  <colItems count="1">
    <i/>
  </colItems>
  <dataFields count="1">
    <dataField name="Sum of Co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A1ADB-829B-43A9-9F76-2D331A1203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8" firstHeaderRow="1" firstDataRow="1" firstDataCol="1"/>
  <pivotFields count="6">
    <pivotField axis="axisRow" showAll="0">
      <items count="17">
        <item m="1" x="14"/>
        <item m="1" x="13"/>
        <item m="1" x="12"/>
        <item x="0"/>
        <item x="3"/>
        <item x="2"/>
        <item x="10"/>
        <item x="6"/>
        <item x="8"/>
        <item x="9"/>
        <item x="1"/>
        <item m="1" x="15"/>
        <item x="11"/>
        <item x="4"/>
        <item x="5"/>
        <item x="7"/>
        <item t="default"/>
      </items>
    </pivotField>
    <pivotField dataField="1" showAll="0"/>
    <pivotField showAll="0"/>
    <pivotField showAll="0"/>
    <pivotField axis="axisRow" showAll="0">
      <items count="5">
        <item x="0"/>
        <item x="1"/>
        <item m="1" x="3"/>
        <item m="1" x="2"/>
        <item t="default"/>
      </items>
    </pivotField>
    <pivotField showAll="0"/>
  </pivotFields>
  <rowFields count="2">
    <field x="4"/>
    <field x="0"/>
  </rowFields>
  <rowItems count="15">
    <i>
      <x/>
    </i>
    <i r="1">
      <x v="3"/>
    </i>
    <i r="1">
      <x v="5"/>
    </i>
    <i r="1">
      <x v="6"/>
    </i>
    <i r="1">
      <x v="7"/>
    </i>
    <i r="1">
      <x v="8"/>
    </i>
    <i r="1">
      <x v="10"/>
    </i>
    <i>
      <x v="1"/>
    </i>
    <i r="1">
      <x v="4"/>
    </i>
    <i r="1">
      <x v="9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Sum of Co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115B00-C9C9-41F2-B690-8288D8BAC39C}" name="Table2" displayName="Table2" ref="A1:F13" totalsRowShown="0">
  <autoFilter ref="A1:F13" xr:uid="{C0115B00-C9C9-41F2-B690-8288D8BAC39C}"/>
  <tableColumns count="6">
    <tableColumn id="1" xr3:uid="{8546D0E2-071D-4881-9D79-A8C5785091EB}" name="Expense name "/>
    <tableColumn id="2" xr3:uid="{3B43E828-F26D-4F54-965E-39299A0923FC}" name="Cost"/>
    <tableColumn id="3" xr3:uid="{7A6C72B7-9F9C-4EB0-A932-15C0FFFA3576}" name="Balance">
      <calculatedColumnFormula>D2-B2</calculatedColumnFormula>
    </tableColumn>
    <tableColumn id="4" xr3:uid="{B516572F-8945-4890-98F7-4CF61DE58CAC}" name="Total">
      <calculatedColumnFormula>C1</calculatedColumnFormula>
    </tableColumn>
    <tableColumn id="5" xr3:uid="{2EA8CDA5-F236-4DA5-BC7C-71F99055EDE0}" name="Account"/>
    <tableColumn id="6" xr3:uid="{31A80BC3-594E-4CE1-B7E3-05DB7736E426}" name="Categor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BD8B1-C55F-4C95-97B0-7547F5C17DE9}" name="Table22" displayName="Table22" ref="A1:F13" totalsRowShown="0">
  <autoFilter ref="A1:F13" xr:uid="{130BD8B1-C55F-4C95-97B0-7547F5C17DE9}"/>
  <tableColumns count="6">
    <tableColumn id="1" xr3:uid="{EE39502A-7978-4966-89B7-7257486E379B}" name="Expense name "/>
    <tableColumn id="2" xr3:uid="{1E7EC8EA-BE56-4D47-9CA6-1E446B8164F0}" name="Cost"/>
    <tableColumn id="3" xr3:uid="{8AFA7D9B-65A5-46D3-ABFB-72AC64F0B472}" name="Balance">
      <calculatedColumnFormula>D2-B2</calculatedColumnFormula>
    </tableColumn>
    <tableColumn id="4" xr3:uid="{E3FEF191-6C3C-4C44-94E8-65D07A6722AD}" name="Total">
      <calculatedColumnFormula>C1</calculatedColumnFormula>
    </tableColumn>
    <tableColumn id="5" xr3:uid="{11FAAF39-4FAD-404A-BA55-898303DE626B}" name="Account"/>
    <tableColumn id="6" xr3:uid="{6185D4C4-FDA9-46B9-AF2D-5018195EAB17}" name="Catego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3E4-E414-4930-836B-50D62C6E14A3}">
  <dimension ref="A1:F13"/>
  <sheetViews>
    <sheetView workbookViewId="0">
      <selection sqref="A1:XFD13"/>
    </sheetView>
  </sheetViews>
  <sheetFormatPr defaultRowHeight="14.5" x14ac:dyDescent="0.35"/>
  <cols>
    <col min="1" max="1" width="21.81640625" bestFit="1" customWidth="1"/>
    <col min="2" max="2" width="9.36328125" customWidth="1"/>
    <col min="3" max="3" width="10.1796875" customWidth="1"/>
    <col min="4" max="4" width="14.36328125" customWidth="1"/>
    <col min="5" max="5" width="17.1796875" bestFit="1" customWidth="1"/>
    <col min="6" max="6" width="2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22</v>
      </c>
    </row>
    <row r="2" spans="1:6" x14ac:dyDescent="0.35">
      <c r="A2" s="5" t="s">
        <v>4</v>
      </c>
      <c r="B2">
        <f>30*50</f>
        <v>1500</v>
      </c>
      <c r="C2">
        <f>D2-B2</f>
        <v>28500</v>
      </c>
      <c r="D2">
        <v>30000</v>
      </c>
      <c r="E2" t="s">
        <v>13</v>
      </c>
      <c r="F2" t="s">
        <v>23</v>
      </c>
    </row>
    <row r="3" spans="1:6" x14ac:dyDescent="0.35">
      <c r="A3" s="5" t="s">
        <v>5</v>
      </c>
      <c r="B3">
        <v>2700</v>
      </c>
      <c r="C3">
        <f>D3-B3</f>
        <v>25800</v>
      </c>
      <c r="D3">
        <f>C2</f>
        <v>28500</v>
      </c>
      <c r="E3" t="s">
        <v>13</v>
      </c>
      <c r="F3" t="s">
        <v>25</v>
      </c>
    </row>
    <row r="4" spans="1:6" x14ac:dyDescent="0.35">
      <c r="A4" s="5" t="s">
        <v>6</v>
      </c>
      <c r="B4">
        <v>2000</v>
      </c>
      <c r="C4">
        <f t="shared" ref="C4" si="0">D4-B4</f>
        <v>23800</v>
      </c>
      <c r="D4">
        <f t="shared" ref="D4" si="1">C3</f>
        <v>25800</v>
      </c>
      <c r="E4" t="s">
        <v>13</v>
      </c>
      <c r="F4" t="s">
        <v>24</v>
      </c>
    </row>
    <row r="5" spans="1:6" x14ac:dyDescent="0.35">
      <c r="A5" s="5" t="s">
        <v>20</v>
      </c>
      <c r="B5">
        <v>2000</v>
      </c>
      <c r="C5">
        <f t="shared" ref="C5:C11" si="2">D5-B5</f>
        <v>21800</v>
      </c>
      <c r="D5">
        <f t="shared" ref="D5:D11" si="3">C4</f>
        <v>23800</v>
      </c>
      <c r="E5" t="s">
        <v>14</v>
      </c>
      <c r="F5" t="s">
        <v>25</v>
      </c>
    </row>
    <row r="6" spans="1:6" x14ac:dyDescent="0.35">
      <c r="A6" s="5" t="s">
        <v>21</v>
      </c>
      <c r="B6">
        <v>2000</v>
      </c>
      <c r="C6">
        <f t="shared" si="2"/>
        <v>19800</v>
      </c>
      <c r="D6">
        <f t="shared" si="3"/>
        <v>21800</v>
      </c>
      <c r="E6" t="s">
        <v>14</v>
      </c>
      <c r="F6" t="s">
        <v>25</v>
      </c>
    </row>
    <row r="7" spans="1:6" x14ac:dyDescent="0.35">
      <c r="A7" s="1" t="s">
        <v>8</v>
      </c>
      <c r="B7">
        <v>2000</v>
      </c>
      <c r="C7">
        <f t="shared" si="2"/>
        <v>17800</v>
      </c>
      <c r="D7">
        <f t="shared" si="3"/>
        <v>19800</v>
      </c>
      <c r="E7" t="s">
        <v>13</v>
      </c>
      <c r="F7" t="s">
        <v>24</v>
      </c>
    </row>
    <row r="8" spans="1:6" x14ac:dyDescent="0.35">
      <c r="A8" s="5" t="s">
        <v>26</v>
      </c>
      <c r="B8">
        <v>1000</v>
      </c>
      <c r="C8">
        <f t="shared" si="2"/>
        <v>16800</v>
      </c>
      <c r="D8">
        <f t="shared" si="3"/>
        <v>17800</v>
      </c>
      <c r="E8" t="s">
        <v>14</v>
      </c>
      <c r="F8" t="s">
        <v>23</v>
      </c>
    </row>
    <row r="9" spans="1:6" x14ac:dyDescent="0.35">
      <c r="A9" s="1" t="s">
        <v>9</v>
      </c>
      <c r="B9">
        <v>750</v>
      </c>
      <c r="C9">
        <f t="shared" si="2"/>
        <v>16050</v>
      </c>
      <c r="D9">
        <f t="shared" si="3"/>
        <v>16800</v>
      </c>
      <c r="E9" t="s">
        <v>13</v>
      </c>
      <c r="F9" t="s">
        <v>24</v>
      </c>
    </row>
    <row r="10" spans="1:6" x14ac:dyDescent="0.35">
      <c r="A10" s="1" t="s">
        <v>11</v>
      </c>
      <c r="B10">
        <v>500</v>
      </c>
      <c r="C10">
        <f t="shared" si="2"/>
        <v>15550</v>
      </c>
      <c r="D10">
        <f t="shared" si="3"/>
        <v>16050</v>
      </c>
      <c r="E10" t="s">
        <v>13</v>
      </c>
      <c r="F10" t="s">
        <v>24</v>
      </c>
    </row>
    <row r="11" spans="1:6" x14ac:dyDescent="0.35">
      <c r="A11" s="5" t="s">
        <v>19</v>
      </c>
      <c r="B11">
        <v>10150</v>
      </c>
      <c r="C11">
        <f t="shared" si="2"/>
        <v>5400</v>
      </c>
      <c r="D11">
        <f t="shared" si="3"/>
        <v>15550</v>
      </c>
      <c r="E11" t="s">
        <v>14</v>
      </c>
      <c r="F11" t="s">
        <v>19</v>
      </c>
    </row>
    <row r="12" spans="1:6" x14ac:dyDescent="0.35">
      <c r="A12" s="5"/>
    </row>
    <row r="13" spans="1:6" x14ac:dyDescent="0.35">
      <c r="A13" s="5"/>
    </row>
  </sheetData>
  <conditionalFormatting sqref="E1:E1048576">
    <cfRule type="containsText" dxfId="1" priority="1" operator="containsText" text="ICICI">
      <formula>NOT(ISERROR(SEARCH("ICICI",E1)))</formula>
    </cfRule>
  </conditionalFormatting>
  <pageMargins left="0.7" right="0.7" top="0.75" bottom="0.75" header="0.3" footer="0.3"/>
  <pageSetup orientation="portrait" r:id="rId1"/>
  <ignoredErrors>
    <ignoredError sqref="E1:E4 E14:E1048576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FB5558-BE95-4C47-BA20-A6045674AFCF}">
          <x14:formula1>
            <xm:f>Sheet2!$A$1:$A$3</xm:f>
          </x14:formula1>
          <xm:sqref>E1:E1048576</xm:sqref>
        </x14:dataValidation>
        <x14:dataValidation type="list" allowBlank="1" showInputMessage="1" showErrorMessage="1" xr:uid="{C6E649EB-8122-48C6-806A-CE627B259427}">
          <x14:formula1>
            <xm:f>Sheet2!$A$5:$A$8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6E29-DE06-4D42-A6EB-0426B37BAB3F}">
  <dimension ref="A3:B9"/>
  <sheetViews>
    <sheetView tabSelected="1" workbookViewId="0">
      <selection activeCell="A3" sqref="A3"/>
    </sheetView>
  </sheetViews>
  <sheetFormatPr defaultRowHeight="14.5" x14ac:dyDescent="0.35"/>
  <cols>
    <col min="1" max="1" width="20.453125" bestFit="1" customWidth="1"/>
    <col min="2" max="2" width="10.81640625" bestFit="1" customWidth="1"/>
  </cols>
  <sheetData>
    <row r="3" spans="1:2" x14ac:dyDescent="0.35">
      <c r="A3" s="2" t="s">
        <v>16</v>
      </c>
      <c r="B3" t="s">
        <v>18</v>
      </c>
    </row>
    <row r="4" spans="1:2" x14ac:dyDescent="0.35">
      <c r="A4" s="3" t="s">
        <v>23</v>
      </c>
      <c r="B4" s="7">
        <v>1785</v>
      </c>
    </row>
    <row r="5" spans="1:2" x14ac:dyDescent="0.35">
      <c r="A5" s="3" t="s">
        <v>19</v>
      </c>
      <c r="B5" s="7">
        <v>25000</v>
      </c>
    </row>
    <row r="6" spans="1:2" x14ac:dyDescent="0.35">
      <c r="A6" s="3" t="s">
        <v>25</v>
      </c>
      <c r="B6" s="7">
        <v>1800</v>
      </c>
    </row>
    <row r="7" spans="1:2" x14ac:dyDescent="0.35">
      <c r="A7" s="3" t="s">
        <v>24</v>
      </c>
      <c r="B7" s="7">
        <v>1750</v>
      </c>
    </row>
    <row r="8" spans="1:2" x14ac:dyDescent="0.35">
      <c r="A8" s="3" t="s">
        <v>27</v>
      </c>
      <c r="B8" s="7"/>
    </row>
    <row r="9" spans="1:2" x14ac:dyDescent="0.35">
      <c r="A9" s="3" t="s">
        <v>17</v>
      </c>
      <c r="B9" s="7">
        <v>30335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40F3-EA77-43DA-A9A9-54EF7EF76355}">
  <dimension ref="A1:F13"/>
  <sheetViews>
    <sheetView workbookViewId="0">
      <selection sqref="A1:F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22</v>
      </c>
    </row>
    <row r="2" spans="1:6" x14ac:dyDescent="0.35">
      <c r="A2" s="5" t="s">
        <v>4</v>
      </c>
      <c r="B2">
        <f>30*50</f>
        <v>1500</v>
      </c>
      <c r="C2">
        <f>D2-B2</f>
        <v>31782</v>
      </c>
      <c r="D2">
        <v>33282</v>
      </c>
      <c r="E2" t="s">
        <v>13</v>
      </c>
      <c r="F2" t="s">
        <v>23</v>
      </c>
    </row>
    <row r="3" spans="1:6" x14ac:dyDescent="0.35">
      <c r="A3" s="5" t="s">
        <v>5</v>
      </c>
      <c r="B3">
        <v>1800</v>
      </c>
      <c r="C3">
        <f>D3-B3</f>
        <v>29982</v>
      </c>
      <c r="D3">
        <f>C2</f>
        <v>31782</v>
      </c>
      <c r="E3" t="s">
        <v>13</v>
      </c>
      <c r="F3" t="s">
        <v>25</v>
      </c>
    </row>
    <row r="4" spans="1:6" x14ac:dyDescent="0.35">
      <c r="A4" s="5" t="s">
        <v>28</v>
      </c>
      <c r="B4">
        <v>25000</v>
      </c>
      <c r="C4">
        <f t="shared" ref="C4:C11" si="0">D4-B4</f>
        <v>4982</v>
      </c>
      <c r="D4">
        <f t="shared" ref="D4:D11" si="1">C3</f>
        <v>29982</v>
      </c>
      <c r="E4" t="s">
        <v>15</v>
      </c>
      <c r="F4" t="s">
        <v>19</v>
      </c>
    </row>
    <row r="5" spans="1:6" x14ac:dyDescent="0.35">
      <c r="A5" s="5" t="s">
        <v>29</v>
      </c>
      <c r="B5">
        <v>285</v>
      </c>
      <c r="C5">
        <f t="shared" si="0"/>
        <v>4697</v>
      </c>
      <c r="D5">
        <f t="shared" si="1"/>
        <v>4982</v>
      </c>
      <c r="E5" t="s">
        <v>13</v>
      </c>
      <c r="F5" t="s">
        <v>23</v>
      </c>
    </row>
    <row r="6" spans="1:6" x14ac:dyDescent="0.35">
      <c r="A6" s="5" t="s">
        <v>30</v>
      </c>
      <c r="B6">
        <v>250</v>
      </c>
      <c r="C6">
        <f t="shared" si="0"/>
        <v>4447</v>
      </c>
      <c r="D6">
        <f t="shared" si="1"/>
        <v>4697</v>
      </c>
      <c r="E6" t="s">
        <v>13</v>
      </c>
      <c r="F6" t="s">
        <v>24</v>
      </c>
    </row>
    <row r="7" spans="1:6" x14ac:dyDescent="0.35">
      <c r="A7" s="6" t="s">
        <v>4</v>
      </c>
      <c r="B7">
        <v>1500</v>
      </c>
      <c r="C7">
        <f t="shared" si="0"/>
        <v>2947</v>
      </c>
      <c r="D7">
        <f t="shared" si="1"/>
        <v>4447</v>
      </c>
      <c r="E7" t="s">
        <v>13</v>
      </c>
      <c r="F7" t="s">
        <v>24</v>
      </c>
    </row>
    <row r="8" spans="1:6" x14ac:dyDescent="0.35">
      <c r="A8" s="5"/>
    </row>
    <row r="9" spans="1:6" x14ac:dyDescent="0.35">
      <c r="A9" s="1"/>
    </row>
    <row r="10" spans="1:6" x14ac:dyDescent="0.35">
      <c r="A10" s="1"/>
    </row>
    <row r="11" spans="1:6" x14ac:dyDescent="0.35">
      <c r="A11" s="5"/>
    </row>
    <row r="12" spans="1:6" x14ac:dyDescent="0.35">
      <c r="A12" s="5"/>
    </row>
    <row r="13" spans="1:6" x14ac:dyDescent="0.35">
      <c r="A13" s="5"/>
    </row>
  </sheetData>
  <conditionalFormatting sqref="E1:E13">
    <cfRule type="containsText" dxfId="0" priority="1" operator="containsText" text="ICICI">
      <formula>NOT(ISERROR(SEARCH("ICICI",E1)))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F16D03-0D66-4623-9EB5-3EC60ADF7E8A}">
          <x14:formula1>
            <xm:f>Sheet2!$A$5:$A$8</xm:f>
          </x14:formula1>
          <xm:sqref>F1:F13</xm:sqref>
        </x14:dataValidation>
        <x14:dataValidation type="list" allowBlank="1" showInputMessage="1" showErrorMessage="1" xr:uid="{F51520FB-4DA2-4325-9580-74CF0409F70F}">
          <x14:formula1>
            <xm:f>Sheet2!$A$1:$A$3</xm:f>
          </x14:formula1>
          <xm:sqref>E1:E13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0A8D-54EA-42CC-B7D1-BA2CDE694E84}">
  <dimension ref="A1:B18"/>
  <sheetViews>
    <sheetView zoomScale="94" workbookViewId="0">
      <selection activeCell="B1" sqref="B1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0.90625" bestFit="1" customWidth="1"/>
    <col min="4" max="4" width="14.90625" bestFit="1" customWidth="1"/>
    <col min="5" max="5" width="21.90625" bestFit="1" customWidth="1"/>
    <col min="6" max="6" width="15.08984375" bestFit="1" customWidth="1"/>
    <col min="7" max="7" width="19.54296875" bestFit="1" customWidth="1"/>
    <col min="8" max="8" width="22.26953125" bestFit="1" customWidth="1"/>
    <col min="9" max="9" width="6.1796875" bestFit="1" customWidth="1"/>
    <col min="10" max="10" width="13" bestFit="1" customWidth="1"/>
    <col min="11" max="11" width="13.7265625" bestFit="1" customWidth="1"/>
    <col min="12" max="12" width="12.7265625" bestFit="1" customWidth="1"/>
    <col min="13" max="13" width="4.81640625" bestFit="1" customWidth="1"/>
    <col min="14" max="14" width="10.7265625" bestFit="1" customWidth="1"/>
  </cols>
  <sheetData>
    <row r="1" spans="1:2" x14ac:dyDescent="0.35">
      <c r="A1" s="2" t="s">
        <v>16</v>
      </c>
      <c r="B1" t="s">
        <v>18</v>
      </c>
    </row>
    <row r="2" spans="1:2" x14ac:dyDescent="0.35">
      <c r="A2" s="3" t="s">
        <v>23</v>
      </c>
      <c r="B2">
        <v>2500</v>
      </c>
    </row>
    <row r="3" spans="1:2" x14ac:dyDescent="0.35">
      <c r="A3" s="4" t="s">
        <v>4</v>
      </c>
      <c r="B3">
        <v>1500</v>
      </c>
    </row>
    <row r="4" spans="1:2" x14ac:dyDescent="0.35">
      <c r="A4" s="4" t="s">
        <v>26</v>
      </c>
      <c r="B4">
        <v>1000</v>
      </c>
    </row>
    <row r="5" spans="1:2" x14ac:dyDescent="0.35">
      <c r="A5" s="3" t="s">
        <v>19</v>
      </c>
      <c r="B5">
        <v>10150</v>
      </c>
    </row>
    <row r="6" spans="1:2" x14ac:dyDescent="0.35">
      <c r="A6" s="4" t="s">
        <v>19</v>
      </c>
      <c r="B6">
        <v>10150</v>
      </c>
    </row>
    <row r="7" spans="1:2" x14ac:dyDescent="0.35">
      <c r="A7" s="3" t="s">
        <v>25</v>
      </c>
      <c r="B7">
        <v>6700</v>
      </c>
    </row>
    <row r="8" spans="1:2" x14ac:dyDescent="0.35">
      <c r="A8" s="4" t="s">
        <v>20</v>
      </c>
      <c r="B8">
        <v>2000</v>
      </c>
    </row>
    <row r="9" spans="1:2" x14ac:dyDescent="0.35">
      <c r="A9" s="4" t="s">
        <v>21</v>
      </c>
      <c r="B9">
        <v>2000</v>
      </c>
    </row>
    <row r="10" spans="1:2" x14ac:dyDescent="0.35">
      <c r="A10" s="4" t="s">
        <v>5</v>
      </c>
      <c r="B10">
        <v>2700</v>
      </c>
    </row>
    <row r="11" spans="1:2" x14ac:dyDescent="0.35">
      <c r="A11" s="3" t="s">
        <v>24</v>
      </c>
      <c r="B11">
        <v>5250</v>
      </c>
    </row>
    <row r="12" spans="1:2" x14ac:dyDescent="0.35">
      <c r="A12" s="4" t="s">
        <v>6</v>
      </c>
      <c r="B12">
        <v>2000</v>
      </c>
    </row>
    <row r="13" spans="1:2" x14ac:dyDescent="0.35">
      <c r="A13" s="4" t="s">
        <v>11</v>
      </c>
      <c r="B13">
        <v>500</v>
      </c>
    </row>
    <row r="14" spans="1:2" x14ac:dyDescent="0.35">
      <c r="A14" s="4" t="s">
        <v>8</v>
      </c>
      <c r="B14">
        <v>2000</v>
      </c>
    </row>
    <row r="15" spans="1:2" x14ac:dyDescent="0.35">
      <c r="A15" s="4" t="s">
        <v>9</v>
      </c>
      <c r="B15">
        <v>750</v>
      </c>
    </row>
    <row r="16" spans="1:2" x14ac:dyDescent="0.35">
      <c r="A16" s="3" t="s">
        <v>27</v>
      </c>
    </row>
    <row r="17" spans="1:2" x14ac:dyDescent="0.35">
      <c r="A17" s="4" t="s">
        <v>27</v>
      </c>
    </row>
    <row r="18" spans="1:2" x14ac:dyDescent="0.35">
      <c r="A18" s="3" t="s">
        <v>17</v>
      </c>
      <c r="B18">
        <v>24600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CE9D-6701-4EC7-B897-9C6AC542B853}">
  <dimension ref="A3:B18"/>
  <sheetViews>
    <sheetView topLeftCell="A2" zoomScale="92" workbookViewId="0">
      <selection activeCell="C4" sqref="C4"/>
    </sheetView>
  </sheetViews>
  <sheetFormatPr defaultRowHeight="14.5" x14ac:dyDescent="0.35"/>
  <cols>
    <col min="1" max="1" width="25.81640625" bestFit="1" customWidth="1"/>
    <col min="2" max="2" width="10.81640625" bestFit="1" customWidth="1"/>
    <col min="3" max="3" width="17" bestFit="1" customWidth="1"/>
    <col min="4" max="4" width="14.90625" bestFit="1" customWidth="1"/>
    <col min="5" max="5" width="21.90625" bestFit="1" customWidth="1"/>
    <col min="6" max="6" width="15.08984375" bestFit="1" customWidth="1"/>
    <col min="7" max="7" width="19.54296875" bestFit="1" customWidth="1"/>
    <col min="8" max="8" width="22.26953125" bestFit="1" customWidth="1"/>
    <col min="9" max="9" width="13" bestFit="1" customWidth="1"/>
    <col min="10" max="10" width="13.7265625" bestFit="1" customWidth="1"/>
    <col min="11" max="11" width="12.7265625" bestFit="1" customWidth="1"/>
    <col min="12" max="12" width="4.81640625" bestFit="1" customWidth="1"/>
    <col min="13" max="13" width="6.7265625" bestFit="1" customWidth="1"/>
    <col min="14" max="14" width="10.7265625" bestFit="1" customWidth="1"/>
  </cols>
  <sheetData>
    <row r="3" spans="1:2" x14ac:dyDescent="0.35">
      <c r="A3" s="2" t="s">
        <v>16</v>
      </c>
      <c r="B3" t="s">
        <v>18</v>
      </c>
    </row>
    <row r="4" spans="1:2" x14ac:dyDescent="0.35">
      <c r="A4" s="3" t="s">
        <v>13</v>
      </c>
      <c r="B4">
        <v>9450</v>
      </c>
    </row>
    <row r="5" spans="1:2" x14ac:dyDescent="0.35">
      <c r="A5" s="4" t="s">
        <v>4</v>
      </c>
      <c r="B5">
        <v>1500</v>
      </c>
    </row>
    <row r="6" spans="1:2" x14ac:dyDescent="0.35">
      <c r="A6" s="4" t="s">
        <v>6</v>
      </c>
      <c r="B6">
        <v>2000</v>
      </c>
    </row>
    <row r="7" spans="1:2" x14ac:dyDescent="0.35">
      <c r="A7" s="4" t="s">
        <v>11</v>
      </c>
      <c r="B7">
        <v>500</v>
      </c>
    </row>
    <row r="8" spans="1:2" x14ac:dyDescent="0.35">
      <c r="A8" s="4" t="s">
        <v>8</v>
      </c>
      <c r="B8">
        <v>2000</v>
      </c>
    </row>
    <row r="9" spans="1:2" x14ac:dyDescent="0.35">
      <c r="A9" s="4" t="s">
        <v>9</v>
      </c>
      <c r="B9">
        <v>750</v>
      </c>
    </row>
    <row r="10" spans="1:2" x14ac:dyDescent="0.35">
      <c r="A10" s="4" t="s">
        <v>5</v>
      </c>
      <c r="B10">
        <v>2700</v>
      </c>
    </row>
    <row r="11" spans="1:2" x14ac:dyDescent="0.35">
      <c r="A11" s="3" t="s">
        <v>14</v>
      </c>
      <c r="B11">
        <v>20550</v>
      </c>
    </row>
    <row r="12" spans="1:2" x14ac:dyDescent="0.35">
      <c r="A12" s="4" t="s">
        <v>7</v>
      </c>
      <c r="B12">
        <v>2700</v>
      </c>
    </row>
    <row r="13" spans="1:2" x14ac:dyDescent="0.35">
      <c r="A13" s="4" t="s">
        <v>10</v>
      </c>
      <c r="B13">
        <v>2700</v>
      </c>
    </row>
    <row r="14" spans="1:2" x14ac:dyDescent="0.35">
      <c r="A14" s="4" t="s">
        <v>19</v>
      </c>
      <c r="B14">
        <v>10150</v>
      </c>
    </row>
    <row r="15" spans="1:2" x14ac:dyDescent="0.35">
      <c r="A15" s="4" t="s">
        <v>20</v>
      </c>
      <c r="B15">
        <v>2000</v>
      </c>
    </row>
    <row r="16" spans="1:2" x14ac:dyDescent="0.35">
      <c r="A16" s="4" t="s">
        <v>21</v>
      </c>
      <c r="B16">
        <v>2000</v>
      </c>
    </row>
    <row r="17" spans="1:2" x14ac:dyDescent="0.35">
      <c r="A17" s="4" t="s">
        <v>26</v>
      </c>
      <c r="B17">
        <v>1000</v>
      </c>
    </row>
    <row r="18" spans="1:2" x14ac:dyDescent="0.35">
      <c r="A18" s="3" t="s">
        <v>17</v>
      </c>
      <c r="B18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0A24-D096-44A6-9E1F-7504F826D1E7}">
  <dimension ref="A1:A8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5" spans="1:1" x14ac:dyDescent="0.35">
      <c r="A5" t="s">
        <v>23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JULY_Mainsheet</vt:lpstr>
      <vt:lpstr>AUGUST_category</vt:lpstr>
      <vt:lpstr>AUGUST_Mainsheet</vt:lpstr>
      <vt:lpstr>JULY_category</vt:lpstr>
      <vt:lpstr>JULY_account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jacinto mascranghas</dc:creator>
  <cp:lastModifiedBy>jacinto mascranghas</cp:lastModifiedBy>
  <dcterms:created xsi:type="dcterms:W3CDTF">2026-07-26T12:58:27Z</dcterms:created>
  <dcterms:modified xsi:type="dcterms:W3CDTF">2026-08-30T06:17:01Z</dcterms:modified>
</cp:coreProperties>
</file>